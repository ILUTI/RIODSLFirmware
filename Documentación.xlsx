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Desarrollo\TIDFirmware\TID\"/>
    </mc:Choice>
  </mc:AlternateContent>
  <xr:revisionPtr revIDLastSave="0" documentId="13_ncr:1_{2177CB27-7909-4BD0-A0FD-220FFAFCEA08}" xr6:coauthVersionLast="47" xr6:coauthVersionMax="47" xr10:uidLastSave="{00000000-0000-0000-0000-000000000000}"/>
  <bookViews>
    <workbookView xWindow="-120" yWindow="-120" windowWidth="29040" windowHeight="15720" activeTab="1" xr2:uid="{00000000-000D-0000-FFFF-FFFF00000000}"/>
  </bookViews>
  <sheets>
    <sheet name="Máquina de estados" sheetId="1" r:id="rId1"/>
    <sheet name="Tabla de calibración " sheetId="2" r:id="rId2"/>
    <sheet name="Tabla de diagnóstico"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3" i="2" l="1"/>
  <c r="B24" i="2" s="1"/>
  <c r="B25" i="2" s="1"/>
  <c r="B26" i="2" s="1"/>
  <c r="B27" i="2" s="1"/>
  <c r="B28" i="2" s="1"/>
  <c r="B29" i="2" s="1"/>
  <c r="B30" i="2" s="1"/>
  <c r="B31" i="2" s="1"/>
  <c r="B32" i="2" s="1"/>
  <c r="B33" i="2" s="1"/>
  <c r="B34" i="2" s="1"/>
  <c r="B35" i="2" s="1"/>
  <c r="B36" i="2" s="1"/>
  <c r="B37" i="2" s="1"/>
  <c r="B38" i="2" s="1"/>
  <c r="B39" i="2" s="1"/>
  <c r="B40" i="2" s="1"/>
  <c r="B41" i="2" s="1"/>
  <c r="B42" i="2" s="1"/>
  <c r="B43" i="2" s="1"/>
  <c r="B44" i="2" s="1"/>
  <c r="B45" i="2" s="1"/>
  <c r="B46" i="2" s="1"/>
  <c r="B47" i="2" s="1"/>
  <c r="B48" i="2" s="1"/>
  <c r="B49" i="2" s="1"/>
  <c r="B50" i="2" s="1"/>
  <c r="B51" i="2" s="1"/>
  <c r="B52" i="2" s="1"/>
  <c r="B53" i="2" s="1"/>
  <c r="B3" i="2"/>
  <c r="B4" i="2" s="1"/>
  <c r="B5" i="2" s="1"/>
  <c r="B6" i="2" s="1"/>
  <c r="B7" i="2" s="1"/>
  <c r="B8" i="2" s="1"/>
  <c r="B9" i="2" s="1"/>
  <c r="B10" i="2" s="1"/>
  <c r="B11" i="2" s="1"/>
  <c r="B12" i="2" s="1"/>
  <c r="B13" i="2" s="1"/>
  <c r="B14" i="2" s="1"/>
</calcChain>
</file>

<file path=xl/sharedStrings.xml><?xml version="1.0" encoding="utf-8"?>
<sst xmlns="http://schemas.openxmlformats.org/spreadsheetml/2006/main" count="158" uniqueCount="112">
  <si>
    <t>DESCRIPCIÓN</t>
  </si>
  <si>
    <t>Duración</t>
  </si>
  <si>
    <t>Operación nula / Desactivada</t>
  </si>
  <si>
    <t>Sin duración</t>
  </si>
  <si>
    <t>Mandar SERVO_PULSO_MIN/MAX para topes</t>
  </si>
  <si>
    <t>5 minutos máximo</t>
  </si>
  <si>
    <t>Barrido automático continuo MIN &lt;-&gt;MAX para validar trayectoria del movimiento del servo</t>
  </si>
  <si>
    <t>Autocalibración de factor ALPHA para reducir ruido del alternador</t>
  </si>
  <si>
    <t>8 segundos</t>
  </si>
  <si>
    <t>Autocalibración de zona muerta (Setea SERVO_PULSO_MIN automático)</t>
  </si>
  <si>
    <t xml:space="preserve"> 2 minutos máximo</t>
  </si>
  <si>
    <t>Mapeo de curva de ganancia de RPM (LAZO ABIERTO)</t>
  </si>
  <si>
    <t>Alrededor de 5.5 minutos</t>
  </si>
  <si>
    <t>Escalón automático para RPM, setea SET_RPM automático con RPM_MIN+200 (PID_RPM_KP = 1, PID_RPM_KI = 0) (LAZO CERRADO)</t>
  </si>
  <si>
    <t>1 minuto</t>
  </si>
  <si>
    <t>4 minutos</t>
  </si>
  <si>
    <t>Autocalibración de relentí setea RPM_MIN</t>
  </si>
  <si>
    <t>2 minutos</t>
  </si>
  <si>
    <t xml:space="preserve">Mapeo de curva de ganancia (LAZO ABIERTO) de PRESION_BASE hasta PRESION_OBJETIVO_LOCAL en un determinado tiempo </t>
  </si>
  <si>
    <t>TIEMPO_LLENADO_S (30 minutos default)</t>
  </si>
  <si>
    <t>Escalón automático para presión local, setea PRESION_OBJETIVO_LOCAL con PRESION_BASE  (en relenti) + 5 PSI (PID_PSI_KP = Sugerida, PID_PSI_KI = 0) (LAZO CERRADO)</t>
  </si>
  <si>
    <t>3 minutos</t>
  </si>
  <si>
    <t>PASOS</t>
  </si>
  <si>
    <t>CALIBRAR DESDE 0 (MANUAL)</t>
  </si>
  <si>
    <t>Motor apagado</t>
  </si>
  <si>
    <t>Motor encendido sin embrague</t>
  </si>
  <si>
    <t>Motor encedido con embrague</t>
  </si>
  <si>
    <t>Apagar motor</t>
  </si>
  <si>
    <t>X</t>
  </si>
  <si>
    <t>Cambiar a MODO 4</t>
  </si>
  <si>
    <t>Setear valor TIEMPO_LLENADO_S, PRESION_OBJETIVO_LOCAL, RPM_MAX, RPM_MIN y RPM_MAX_CARGA *RPM_MAX debería ser inherente a cada modelo de motor (PRESION_OBJETIVO_LOCAL debe setearse ANTES que TIEMPO_LLENADO_S, ya que su cálculo depende de ese valor)</t>
  </si>
  <si>
    <t>Encender Motor, quitar embrague</t>
  </si>
  <si>
    <t>Esperar a que se estabilice relenti</t>
  </si>
  <si>
    <t>Ingresar RPM con referencia externa en SET_RATIO_AUTO</t>
  </si>
  <si>
    <t>Ejecutar: "pid_tuning.py auto --loop interno --log &lt;PID_RPM_DATOS_2&gt; --ganancia-log &lt;PID_RPM_DATOS_1&gt;" para obtener KP y KI (tambien genera TAU, L, K, ganancias conservadoras, agresivas y medias)</t>
  </si>
  <si>
    <t>*Opcional</t>
  </si>
  <si>
    <t>Ejecutar: "python pid_tuning.py simulate --K &lt;&gt; --tau &lt;&gt; --L &lt;&gt; --kp &lt;&gt; --ki &lt;&gt; --plot-out respuesta.png" ingresando los valores que entrega el primer script para visualizar gráfica</t>
  </si>
  <si>
    <t xml:space="preserve">Setear PID_RPM_KP y PID_RPM_KI </t>
  </si>
  <si>
    <t>Cambiar a MODO 3 (necesario para poder mandar SET_RPM a mano en el paso siguiente)</t>
  </si>
  <si>
    <t>Validar control PID #1 con SET_RPM en MODO 3</t>
  </si>
  <si>
    <t xml:space="preserve">Anclar embrague </t>
  </si>
  <si>
    <t>Cambiar a MODO 3 (necesario para el primer llenado manual)</t>
  </si>
  <si>
    <t>PRIMER LLENADO MANUAL -- SOLO la primera vez que se presuriza esta tuberia: subir SET_RPM a mano en incrementos chicos, esperando y escuchando/observando la tuberia entre cada uno, hasta confirmar la linea llena de agua (sin aire atrapado) y una lectura de presion estable en RPM_MIN. Ningun paso automatico reemplaza esto -- el sensor no puede distinguir agua real de aire comprimido</t>
  </si>
  <si>
    <t>Setear PID_PSI_KP = &lt;Kp sugerido por el paso anterior&gt; (PID_PSI_KI se fuerza a 0 solo, no hace falta setearlo)</t>
  </si>
  <si>
    <t>Setear CH a 10 (Genera tabla de PID_LOCAL_DATOS_2)</t>
  </si>
  <si>
    <t>Ejecutar: "pid_tuning.py auto --loop presion --log &lt;PID_PSI_DATOS_2&gt; --ganancia-log &lt;PID_PSI_DATOS_1&gt;" para obtener KP y KI (tambien genera TAU, L, K, ganancias conservadoras, agresivas y medias)</t>
  </si>
  <si>
    <t>Setear PID_PSI_KP y PID_PSI_KI (valores finales)</t>
  </si>
  <si>
    <t>Setear CH a [nuevo -- validación automática de presión, ver fila 14] (4 minutos, con las ganancias YA cargadas, watchdog de oscilación sostenida) -- equivalente de CH=7 (fila 10) pero para el lazo de presión; el log resultante se pasa a "pid_tuning.py compare --loop presion"</t>
  </si>
  <si>
    <t>TABLA DE ESTADOS</t>
  </si>
  <si>
    <t>CAMBIO ENTRE MODOS</t>
  </si>
  <si>
    <t>TIPO</t>
  </si>
  <si>
    <t>ESTADO</t>
  </si>
  <si>
    <t>Sin conexion LoRaWan inicial</t>
  </si>
  <si>
    <t>Perdida de señal LoRaWan cuando ya había conexión</t>
  </si>
  <si>
    <t>Con motor apagado</t>
  </si>
  <si>
    <t>Con motor encendido</t>
  </si>
  <si>
    <t>Operación Automática</t>
  </si>
  <si>
    <t>MODO 0</t>
  </si>
  <si>
    <t>Motor en relentí, estado de operación neutro / segura (RPM actual &lt;= RPM_MIN)</t>
  </si>
  <si>
    <t>SIN EFECTO</t>
  </si>
  <si>
    <t>MODO 1</t>
  </si>
  <si>
    <t>Acelera hasta llegar a presion objetivo local bajo un tiempo</t>
  </si>
  <si>
    <t>Rechaza MODO 1 en remoto / Permite MODO 1 en local</t>
  </si>
  <si>
    <t>Mantine MODO 1</t>
  </si>
  <si>
    <t>Cambia a MODO 0</t>
  </si>
  <si>
    <t xml:space="preserve"> Permite entrar a MODO 1 solo si viene de MODO 0 o MODO 2, rechaza los demás</t>
  </si>
  <si>
    <t>MODO 2</t>
  </si>
  <si>
    <t>Acelera hasta llegar a presion objetivo remota</t>
  </si>
  <si>
    <t>Rechaza MODO 2</t>
  </si>
  <si>
    <t>Cambia a MODO 1</t>
  </si>
  <si>
    <t xml:space="preserve"> Permite entrar a MODO 2 solo si viene de MODO 1, rechaza los demás</t>
  </si>
  <si>
    <t>Operación Manual</t>
  </si>
  <si>
    <t>MODO 3</t>
  </si>
  <si>
    <t xml:space="preserve">Operador setea RPM/Presión y se mantiene en ese valor </t>
  </si>
  <si>
    <t>Rechaza MODO 3 en remoto / Permite MODO 3 en local (*ver condiciones)</t>
  </si>
  <si>
    <t>Permite entrar a MODO 3 Desde cualquier MODO (*ver condiciones)</t>
  </si>
  <si>
    <t xml:space="preserve">Calibración </t>
  </si>
  <si>
    <t>MODO 4</t>
  </si>
  <si>
    <t>Este modo permite el motor estar apagado, encendido, en relenti, y acelerado para fines de calibración, su calibración puede permite que sea local y remota</t>
  </si>
  <si>
    <t>Rechaza MODO 4 en remoto/ Permite MODO 4 en local (*ver condiciones)</t>
  </si>
  <si>
    <t xml:space="preserve"> Permite entrar a MODO 4 (*ver condiciones)</t>
  </si>
  <si>
    <t xml:space="preserve"> Permite entrar a MODO 4, desde cualquier MODO (*ver condiciones)</t>
  </si>
  <si>
    <t>Diagnóstico</t>
  </si>
  <si>
    <t>MODO 5</t>
  </si>
  <si>
    <t>Este modo permite el motor estar apagado, encendido, en relenti, y acelerado para fines de diagnostico, su diagnóstico puede permite que sea local y remota</t>
  </si>
  <si>
    <t>Rechaza MODO 5 en remoto/ Permite MODO 5 en local pero fuerza a relentí (SET_RPM = 0)</t>
  </si>
  <si>
    <t>Permite entrar a MODO 5</t>
  </si>
  <si>
    <t xml:space="preserve"> Permite entrar a MODO 5, desde cualquier MODO pero fuerza a relentí (SET_RPM = 0)</t>
  </si>
  <si>
    <t>Mantenimiento</t>
  </si>
  <si>
    <t>MODO 6</t>
  </si>
  <si>
    <t>* AUN POR DEFINIR</t>
  </si>
  <si>
    <t>Para entrar a MODO 3 si viende de MODO 1 o MODO 2, SET_RPM = RPM actual leída para no bajar a relenti si tubéria ya tiene agua, si viene de cualquier otro MODO, fuerza a relenti (SET_RPM = 0)</t>
  </si>
  <si>
    <t>MODO=1 — "Quiero que la presión se quede en 30 PSI, y que vos te encargues"
Es como un termostato, pero de presión en vez de temperatura.
Vos le decís: "quiero 30 PSI" (PRESION_OBJETIVO). El sistema mira la presión real que hay ahora mismo, la compara con lo que pediste, y gira la perilla solo — un poquito más si falta, un poquito menos si se pasó — todo el tiempo, sin que vos tengas que tocar nada. Eso es el PID#2.
La parte del "no me apures": si le pedís de un salto "quiero 30 PSI YA", y la tubería está medio vacía, ese salto brusco puede ser peligroso (como abrir una llave de golpe con aire adentro de la manguera — puede dar un latigazo). Entonces en vez de pedir 30 PSI de una, el sistema arma una rampa: "ahorita estás en 10, en un ratito vas a 11, después a 12..." subiendo de a poquito, a la velocidad que vos elegiste.
¿Cómo elegís esa velocidad? Antes tenías que calcular vos mismo "cuántos PSI por segundo" — ahora simplemente le decís cuántos minutos querés que tarde el llenado completo (TIEMPO_LLENADO_S, ej. "30 minutos"), y el sistema hace la cuenta solo, mirando cuánta presión falta en ese momento.
La parte inteligente: si en medio del llenado se corta la luz un ratito y volvés a MODO=1, el sistema mira la presión que YA hay (no la olvidó, la tubería sigue como estaba) — si ya estaba casi llena, le falta poquito, así que tarda mucho menos que los 30 minutos originales. No hace falta decirle "ojo que esto ya no es la primera vez" — se da cuenta solo, porque siempre mira la presión real de AHORA, no un cronómetro fijo.</t>
  </si>
  <si>
    <t>CH=8 — "Dame un empujoncito chiquito para conocerte"
Este no es para operar de verdad — es una PRUEBA, para que la computadora (con la ayuda de un script en tu compu) aprenda cómo se comporta esta tubería en particular: qué tan rápido reacciona, cuánto tarda en responder, etc.
Es como cuando un doctor te da un golpecito en la rodilla con el martillito para ver el reflejo — necesita un golpecito LIMPIO y de un tamaño conocido para poder medir bien la reacción. Si en vez de un golpecito seco le dieras un empujón lento y gradual, no podría medir el reflejo de la misma forma.
Por eso CH=8 manda un salto pequeño y limpio (+5 PSI, de golpe, SIN rampa) sobre la presión base real medida en ese momento — y mira cómo reacciona la presión de verdad durante los siguientes 10 minutos. Con esos datos, tu compu calcula matemáticamente "esta tubería en particular tarda tanto en reaccionar, tiene tanto retraso" — números que después sirven para calcular qué tan fuerte debe ser el PID de MODO=1 para que no oscile.
Importante: CH=8 asume que la tubería YA está llena de agua (no purga aire, no es para la primera vez) — es solo para "tomarle el pulso" a un sistema que ya está andando normal.</t>
  </si>
  <si>
    <t>CH=11 — "Vamos subiendo despacio y anotando el mapa completo, sin apurarnos más de la cuenta"
Igual que antes: mientras CH=8 te da UN solo dato (cómo reacciona cerca de un punto), CH=11 te da el MAPA COMPLETO — cómo se comporta la presión en TODO el rango, desde ralentí hasta el objetivo real de esa instalación. Sigue haciendo falta por la misma razón: la relación entre RPM y presión puede ser suave en una zona y muy brusca en otra, y si solo calibrás con un punto podrías dejar sin probar justo la zona más exigente.
Cómo lo hace, paso a paso:
Primero mide la presión real en ralentí durante unos segundos (la "base" — sin adivinar, midiendo de verdad).
Calcula, con los datos que ya diste (TIEMPO_LLENADO_S, PRESION_OBJETIVO_LOCAL), cuál es el ritmo MÁXIMO al que esta tubería puede subir de presión sin peligro — el mismo ritmo que ya usa el llenado real cuando el equipo entra en operación.
Empieza a subir RPM de a poquito, PERO en vez de subir a una velocidad fija, va revisando en todo momento: "¿la presión real va más lenta que ese ritmo máximo permitido?" Si sí, sigue subiendo RPM. Si la presión YA alcanzó ese ritmo, se detiene un momento (no baja, solo pausa) hasta que el ritmo permitido la vuelva a alcanzar — es como un limitador de velocidad que no te dice "andá a tanto", sino "no vayas más rápido que esto", y te deja acelerar solo cuando hay margen.
Mientras sube, va anotando el par (RPM, presión) cada vez que la presión avanza 1 PSI — como ir marcando puntos en una hoja cuadriculada, pero solo cuando realmente hay algo nuevo que anotar (no a cada segundo, para no llenar el log de puntos repetidos).
Se para si: llega a la presión objetivo (el caso normal), si la RPM llega al techo de seguridad de esa bomba RPM_MAX_CARGA sin haber llegado (algo raro — significa que esa bomba no alcanza esa presión con seguridad), o si se pasa de un tiempo tope de última instancia (por si el sensor se queda trabado).
La diferencia clave con lo que te expliqué antes: ya no hay un tamaño de escalón fijo ni una velocidad de rampa fija que calibrar a mano — el propio freno por presión real se encarga de que la subida nunca sea más rápida de lo que vos ya definiste como seguro, sin importar qué tan sensible o brusca resulte ser esa bomba en particular. Y por eso mismo, la prueba dura aproximadamente lo mismo que vos ya le dijiste al sistema que tarda un llenado seguro (TIEMPO_LLENADO_S), en vez de un tiempo que dependía de cuántos escalones hicieran falta.
Con ese mapa completo (varios puntos reales, no uno solo), el script de tu compu sigue calculando el peor caso — la zona donde la presión sube MÁS fuerte por cada RPM — y usa esa zona para sugerir una Kp/Ki que sea segura en TODO el rango, no solo donde se hizo la prueba.</t>
  </si>
  <si>
    <t>Escalón automático para presión local, setea PRESION_OBJETIVO con PRESION_BASE (en relenti) + 5 PSI, usando el PID_PSI_KP/KI ya calculados</t>
  </si>
  <si>
    <t>Escalón automático para presión remota, setea "" con (LAZO CERRADO)</t>
  </si>
  <si>
    <t>Escalón automático de validación para RPM,  setea SET_RPM automático con RPM_MIN+200 con PID_RPM_KP  PID_RPM_KI ya calculados</t>
  </si>
  <si>
    <t>Para entrar a MODO 4 se fuerza a relentí si está encendido y los valores se setean:  SET_RPM = 0, SET_PRESION = 0, CALIB = 0, cuando se sale de MODO 4, CALIB se cambia a 0.</t>
  </si>
  <si>
    <t>CALIBRACIÓN (C)</t>
  </si>
  <si>
    <t>Setear C a 1</t>
  </si>
  <si>
    <t>Setear C a 2</t>
  </si>
  <si>
    <t>Setear C a 3</t>
  </si>
  <si>
    <t>Setear C a 4</t>
  </si>
  <si>
    <t>Setear C a 5 (Genera tabla de PID_RPM_DATOS_1)</t>
  </si>
  <si>
    <t>Setear C a 6 (Genera tabla de PID_RPM_DATOS_2)</t>
  </si>
  <si>
    <t>Setear C a 7</t>
  </si>
  <si>
    <t>Cambiar a MODO 4 (necesario para el siguiente C, exige MODO=4 sin excepcion)</t>
  </si>
  <si>
    <t>Setear C a 8 (autocalibracion de relenti CON carga -- el relenti real cambia al conectar la carga hidraulica)</t>
  </si>
  <si>
    <t>Cambiar a MODO 4 (necesario para el siguiente C)</t>
  </si>
  <si>
    <t>Setear C a 9 (Genera tabla de PID_LOCAL_DATOS_1)</t>
  </si>
  <si>
    <t>Ejecutar: "pid_tuning.py sugerir-kp-presion --ganancia-log &lt;log de C&gt;"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</si>
</sst>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Aptos Narrow"/>
      <family val="2"/>
      <scheme val="minor"/>
    </font>
    <font>
      <sz val="11"/>
      <color rgb="FFFF0000"/>
      <name val="Aptos Narrow"/>
      <family val="2"/>
      <scheme val="minor"/>
    </font>
    <font>
      <b/>
      <sz val="11"/>
      <color theme="1"/>
      <name val="Aptos Narrow"/>
      <family val="2"/>
      <scheme val="minor"/>
    </font>
  </fonts>
  <fills count="4">
    <fill>
      <patternFill patternType="none"/>
    </fill>
    <fill>
      <patternFill patternType="gray125"/>
    </fill>
    <fill>
      <patternFill patternType="solid">
        <fgColor theme="5" tint="0.39997558519241921"/>
        <bgColor indexed="64"/>
      </patternFill>
    </fill>
    <fill>
      <patternFill patternType="solid">
        <fgColor theme="6" tint="0.59999389629810485"/>
        <bgColor indexed="64"/>
      </patternFill>
    </fill>
  </fills>
  <borders count="1">
    <border>
      <left/>
      <right/>
      <top/>
      <bottom/>
      <diagonal/>
    </border>
  </borders>
  <cellStyleXfs count="1">
    <xf numFmtId="0" fontId="0" fillId="0" borderId="0"/>
  </cellStyleXfs>
  <cellXfs count="23">
    <xf numFmtId="0" fontId="0" fillId="0" borderId="0" xfId="0"/>
    <xf numFmtId="0" fontId="0" fillId="0" borderId="0" xfId="0" applyAlignment="1">
      <alignment horizontal="center"/>
    </xf>
    <xf numFmtId="0" fontId="0" fillId="0" borderId="0" xfId="0" applyAlignment="1">
      <alignment horizontal="center" vertical="center"/>
    </xf>
    <xf numFmtId="0" fontId="0" fillId="0" borderId="0" xfId="0" applyAlignment="1">
      <alignment vertical="center"/>
    </xf>
    <xf numFmtId="0" fontId="0" fillId="0" borderId="0" xfId="0" applyAlignment="1">
      <alignment horizontal="center" vertical="center" wrapText="1"/>
    </xf>
    <xf numFmtId="0" fontId="2" fillId="0" borderId="0" xfId="0" applyFont="1" applyAlignment="1">
      <alignment horizontal="center" vertical="center"/>
    </xf>
    <xf numFmtId="0" fontId="2" fillId="0" borderId="0" xfId="0" applyFont="1" applyAlignment="1">
      <alignment horizontal="center" vertical="center" wrapText="1"/>
    </xf>
    <xf numFmtId="0" fontId="0" fillId="0" borderId="0" xfId="0" applyAlignment="1">
      <alignment vertical="center" wrapText="1"/>
    </xf>
    <xf numFmtId="0" fontId="1" fillId="0" borderId="0" xfId="0" applyFont="1" applyAlignment="1">
      <alignment horizontal="center" vertical="center"/>
    </xf>
    <xf numFmtId="0" fontId="0" fillId="0" borderId="0" xfId="0" applyAlignment="1">
      <alignment horizontal="left" vertical="center"/>
    </xf>
    <xf numFmtId="0" fontId="0" fillId="0" borderId="0" xfId="0" applyAlignment="1">
      <alignment horizontal="left" vertical="center" wrapText="1"/>
    </xf>
    <xf numFmtId="0" fontId="0" fillId="2" borderId="0" xfId="0" applyFill="1" applyAlignment="1">
      <alignment horizontal="center" vertical="center" wrapText="1"/>
    </xf>
    <xf numFmtId="0" fontId="1" fillId="0" borderId="0" xfId="0" applyFont="1" applyAlignment="1">
      <alignment horizontal="center" vertical="center" wrapText="1"/>
    </xf>
    <xf numFmtId="0" fontId="0" fillId="0" borderId="0" xfId="0" applyAlignment="1">
      <alignment wrapText="1"/>
    </xf>
    <xf numFmtId="0" fontId="0" fillId="2" borderId="0" xfId="0" applyFill="1" applyAlignment="1">
      <alignment vertical="top" wrapText="1"/>
    </xf>
    <xf numFmtId="0" fontId="0" fillId="2" borderId="0" xfId="0" applyFill="1" applyAlignment="1">
      <alignment horizontal="left" vertical="center" wrapText="1"/>
    </xf>
    <xf numFmtId="0" fontId="0" fillId="3" borderId="0" xfId="0" applyFill="1" applyAlignment="1">
      <alignment horizontal="left" vertical="center" wrapText="1"/>
    </xf>
    <xf numFmtId="0" fontId="0" fillId="3" borderId="0" xfId="0" applyFill="1" applyAlignment="1">
      <alignment horizontal="center" vertical="center" wrapText="1"/>
    </xf>
    <xf numFmtId="0" fontId="0" fillId="3" borderId="0" xfId="0" applyFill="1" applyAlignment="1">
      <alignment vertical="top" wrapText="1"/>
    </xf>
    <xf numFmtId="0" fontId="0" fillId="0" borderId="0" xfId="0" applyAlignment="1">
      <alignment horizontal="center" wrapText="1"/>
    </xf>
    <xf numFmtId="0" fontId="0" fillId="0" borderId="0" xfId="0" applyAlignment="1">
      <alignment horizontal="center" vertical="center"/>
    </xf>
    <xf numFmtId="0" fontId="0" fillId="0" borderId="0" xfId="0" applyAlignment="1">
      <alignment horizontal="center"/>
    </xf>
    <xf numFmtId="0" fontId="0" fillId="0" borderId="0" xfId="0"/>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O17"/>
  <sheetViews>
    <sheetView topLeftCell="A13" workbookViewId="0">
      <selection activeCell="E11" sqref="E11"/>
    </sheetView>
  </sheetViews>
  <sheetFormatPr baseColWidth="10" defaultRowHeight="15" x14ac:dyDescent="0.25"/>
  <cols>
    <col min="1" max="1" width="16.5703125" customWidth="1"/>
    <col min="3" max="3" width="72" bestFit="1" customWidth="1"/>
    <col min="4" max="4" width="40.42578125" bestFit="1" customWidth="1"/>
    <col min="5" max="5" width="28.42578125" customWidth="1"/>
    <col min="6" max="6" width="21.85546875" bestFit="1" customWidth="1"/>
    <col min="7" max="7" width="38.140625" bestFit="1" customWidth="1"/>
  </cols>
  <sheetData>
    <row r="2" spans="1:15" x14ac:dyDescent="0.25">
      <c r="A2" s="21" t="s">
        <v>48</v>
      </c>
      <c r="B2" s="22"/>
      <c r="C2" s="22"/>
      <c r="D2" s="21" t="s">
        <v>49</v>
      </c>
      <c r="E2" s="22"/>
      <c r="F2" s="22"/>
      <c r="G2" s="22"/>
    </row>
    <row r="3" spans="1:15" ht="30.75" customHeight="1" x14ac:dyDescent="0.25">
      <c r="A3" s="5" t="s">
        <v>50</v>
      </c>
      <c r="B3" s="5" t="s">
        <v>51</v>
      </c>
      <c r="C3" s="5" t="s">
        <v>0</v>
      </c>
      <c r="D3" s="5" t="s">
        <v>52</v>
      </c>
      <c r="E3" s="6" t="s">
        <v>53</v>
      </c>
      <c r="F3" s="6" t="s">
        <v>54</v>
      </c>
      <c r="G3" s="6" t="s">
        <v>55</v>
      </c>
      <c r="H3" s="10"/>
      <c r="I3" s="2"/>
      <c r="J3" s="2"/>
      <c r="K3" s="2"/>
      <c r="L3" s="2"/>
      <c r="M3" s="2"/>
    </row>
    <row r="4" spans="1:15" ht="39" customHeight="1" x14ac:dyDescent="0.25">
      <c r="A4" s="4" t="s">
        <v>56</v>
      </c>
      <c r="B4" s="2" t="s">
        <v>57</v>
      </c>
      <c r="C4" s="9" t="s">
        <v>58</v>
      </c>
      <c r="D4" s="2" t="s">
        <v>59</v>
      </c>
      <c r="E4" s="2" t="s">
        <v>59</v>
      </c>
      <c r="F4" s="2" t="s">
        <v>59</v>
      </c>
      <c r="G4" s="2" t="s">
        <v>59</v>
      </c>
    </row>
    <row r="5" spans="1:15" ht="39" customHeight="1" x14ac:dyDescent="0.25">
      <c r="A5" s="4" t="s">
        <v>56</v>
      </c>
      <c r="B5" s="2" t="s">
        <v>60</v>
      </c>
      <c r="C5" s="9" t="s">
        <v>61</v>
      </c>
      <c r="D5" s="7" t="s">
        <v>62</v>
      </c>
      <c r="E5" s="4" t="s">
        <v>63</v>
      </c>
      <c r="F5" s="2" t="s">
        <v>64</v>
      </c>
      <c r="G5" s="4" t="s">
        <v>65</v>
      </c>
    </row>
    <row r="6" spans="1:15" ht="39" customHeight="1" x14ac:dyDescent="0.25">
      <c r="A6" s="4" t="s">
        <v>56</v>
      </c>
      <c r="B6" s="2" t="s">
        <v>66</v>
      </c>
      <c r="C6" s="9" t="s">
        <v>67</v>
      </c>
      <c r="D6" s="2" t="s">
        <v>68</v>
      </c>
      <c r="E6" s="4" t="s">
        <v>69</v>
      </c>
      <c r="F6" s="2" t="s">
        <v>64</v>
      </c>
      <c r="G6" s="4" t="s">
        <v>70</v>
      </c>
    </row>
    <row r="7" spans="1:15" ht="39" customHeight="1" x14ac:dyDescent="0.25">
      <c r="A7" s="4" t="s">
        <v>71</v>
      </c>
      <c r="B7" s="2" t="s">
        <v>72</v>
      </c>
      <c r="C7" s="9" t="s">
        <v>73</v>
      </c>
      <c r="D7" s="15" t="s">
        <v>74</v>
      </c>
      <c r="E7" s="4" t="s">
        <v>64</v>
      </c>
      <c r="F7" s="2" t="s">
        <v>64</v>
      </c>
      <c r="G7" s="11" t="s">
        <v>75</v>
      </c>
    </row>
    <row r="8" spans="1:15" ht="39" customHeight="1" x14ac:dyDescent="0.25">
      <c r="A8" s="4" t="s">
        <v>76</v>
      </c>
      <c r="B8" s="2" t="s">
        <v>77</v>
      </c>
      <c r="C8" s="10" t="s">
        <v>78</v>
      </c>
      <c r="D8" s="16" t="s">
        <v>79</v>
      </c>
      <c r="E8" s="4" t="s">
        <v>64</v>
      </c>
      <c r="F8" s="4" t="s">
        <v>80</v>
      </c>
      <c r="G8" s="17" t="s">
        <v>81</v>
      </c>
      <c r="H8" s="3"/>
      <c r="I8" s="3"/>
      <c r="J8" s="3"/>
      <c r="K8" s="3"/>
      <c r="L8" s="3"/>
      <c r="M8" s="3"/>
      <c r="N8" s="3"/>
      <c r="O8" s="3"/>
    </row>
    <row r="9" spans="1:15" ht="39" customHeight="1" x14ac:dyDescent="0.25">
      <c r="A9" s="4" t="s">
        <v>82</v>
      </c>
      <c r="B9" s="2" t="s">
        <v>83</v>
      </c>
      <c r="C9" s="10" t="s">
        <v>84</v>
      </c>
      <c r="D9" s="10" t="s">
        <v>85</v>
      </c>
      <c r="E9" s="4" t="s">
        <v>64</v>
      </c>
      <c r="F9" s="4" t="s">
        <v>86</v>
      </c>
      <c r="G9" s="4" t="s">
        <v>87</v>
      </c>
    </row>
    <row r="10" spans="1:15" x14ac:dyDescent="0.25">
      <c r="A10" s="12" t="s">
        <v>88</v>
      </c>
      <c r="B10" s="8" t="s">
        <v>89</v>
      </c>
      <c r="C10" s="8" t="s">
        <v>90</v>
      </c>
      <c r="D10" s="8"/>
      <c r="E10" s="8"/>
      <c r="F10" s="8"/>
      <c r="G10" s="2"/>
    </row>
    <row r="12" spans="1:15" ht="45" customHeight="1" x14ac:dyDescent="0.25">
      <c r="C12" s="14" t="s">
        <v>91</v>
      </c>
    </row>
    <row r="13" spans="1:15" ht="52.5" customHeight="1" x14ac:dyDescent="0.25">
      <c r="C13" s="18" t="s">
        <v>98</v>
      </c>
    </row>
    <row r="17" spans="2:5" ht="409.5" customHeight="1" x14ac:dyDescent="0.25">
      <c r="B17" t="s">
        <v>60</v>
      </c>
      <c r="C17" s="13" t="s">
        <v>92</v>
      </c>
      <c r="D17" s="13" t="s">
        <v>93</v>
      </c>
      <c r="E17" s="13" t="s">
        <v>94</v>
      </c>
    </row>
  </sheetData>
  <mergeCells count="2">
    <mergeCell ref="D2:G2"/>
    <mergeCell ref="A2:C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G53"/>
  <sheetViews>
    <sheetView tabSelected="1" topLeftCell="A35" workbookViewId="0">
      <selection activeCell="C47" sqref="C47"/>
    </sheetView>
  </sheetViews>
  <sheetFormatPr baseColWidth="10" defaultRowHeight="15" x14ac:dyDescent="0.25"/>
  <cols>
    <col min="1" max="1" width="12.42578125" bestFit="1" customWidth="1"/>
    <col min="2" max="2" width="25" bestFit="1" customWidth="1"/>
    <col min="3" max="3" width="97.140625" customWidth="1"/>
    <col min="4" max="4" width="18.85546875" style="1" bestFit="1" customWidth="1"/>
    <col min="5" max="5" width="28.7109375" bestFit="1" customWidth="1"/>
    <col min="6" max="6" width="28.140625" bestFit="1" customWidth="1"/>
    <col min="7" max="7" width="12.42578125" customWidth="1"/>
    <col min="8" max="8" width="13.140625" customWidth="1"/>
  </cols>
  <sheetData>
    <row r="2" spans="2:7" x14ac:dyDescent="0.25">
      <c r="B2" s="1" t="s">
        <v>99</v>
      </c>
      <c r="C2" t="s">
        <v>0</v>
      </c>
      <c r="D2" t="s">
        <v>1</v>
      </c>
    </row>
    <row r="3" spans="2:7" ht="31.5" customHeight="1" x14ac:dyDescent="0.25">
      <c r="B3" s="2">
        <f>0</f>
        <v>0</v>
      </c>
      <c r="C3" s="3" t="s">
        <v>2</v>
      </c>
      <c r="D3" s="1" t="s">
        <v>3</v>
      </c>
      <c r="F3" s="1"/>
    </row>
    <row r="4" spans="2:7" ht="31.5" customHeight="1" x14ac:dyDescent="0.25">
      <c r="B4" s="2">
        <f t="shared" ref="B4:B14" si="0">1+B3</f>
        <v>1</v>
      </c>
      <c r="C4" s="3" t="s">
        <v>4</v>
      </c>
      <c r="D4" s="20" t="s">
        <v>5</v>
      </c>
      <c r="F4" s="1"/>
    </row>
    <row r="5" spans="2:7" ht="31.5" customHeight="1" x14ac:dyDescent="0.25">
      <c r="B5" s="2">
        <f t="shared" si="0"/>
        <v>2</v>
      </c>
      <c r="C5" s="3" t="s">
        <v>6</v>
      </c>
      <c r="D5" s="21"/>
      <c r="F5" s="1"/>
    </row>
    <row r="6" spans="2:7" ht="31.5" customHeight="1" x14ac:dyDescent="0.25">
      <c r="B6" s="2">
        <f t="shared" si="0"/>
        <v>3</v>
      </c>
      <c r="C6" s="3" t="s">
        <v>7</v>
      </c>
      <c r="D6" s="1" t="s">
        <v>8</v>
      </c>
      <c r="F6" s="1"/>
    </row>
    <row r="7" spans="2:7" ht="31.5" customHeight="1" x14ac:dyDescent="0.25">
      <c r="B7" s="2">
        <f t="shared" si="0"/>
        <v>4</v>
      </c>
      <c r="C7" s="3" t="s">
        <v>9</v>
      </c>
      <c r="D7" s="2" t="s">
        <v>10</v>
      </c>
      <c r="F7" s="1"/>
    </row>
    <row r="8" spans="2:7" ht="31.5" customHeight="1" x14ac:dyDescent="0.25">
      <c r="B8" s="2">
        <f t="shared" si="0"/>
        <v>5</v>
      </c>
      <c r="C8" s="3" t="s">
        <v>11</v>
      </c>
      <c r="D8" s="19" t="s">
        <v>12</v>
      </c>
      <c r="F8" s="1"/>
      <c r="G8" s="1"/>
    </row>
    <row r="9" spans="2:7" ht="31.5" customHeight="1" x14ac:dyDescent="0.25">
      <c r="B9" s="2">
        <f t="shared" si="0"/>
        <v>6</v>
      </c>
      <c r="C9" s="10" t="s">
        <v>13</v>
      </c>
      <c r="D9" s="1" t="s">
        <v>14</v>
      </c>
      <c r="G9" s="1"/>
    </row>
    <row r="10" spans="2:7" ht="31.5" customHeight="1" x14ac:dyDescent="0.25">
      <c r="B10" s="2">
        <f t="shared" si="0"/>
        <v>7</v>
      </c>
      <c r="C10" s="7" t="s">
        <v>97</v>
      </c>
      <c r="D10" s="1" t="s">
        <v>15</v>
      </c>
      <c r="G10" s="1"/>
    </row>
    <row r="11" spans="2:7" ht="31.5" customHeight="1" x14ac:dyDescent="0.25">
      <c r="B11" s="2">
        <f t="shared" si="0"/>
        <v>8</v>
      </c>
      <c r="C11" s="3" t="s">
        <v>16</v>
      </c>
      <c r="D11" s="1" t="s">
        <v>17</v>
      </c>
      <c r="G11" s="1"/>
    </row>
    <row r="12" spans="2:7" ht="31.5" customHeight="1" x14ac:dyDescent="0.25">
      <c r="B12" s="2">
        <f t="shared" si="0"/>
        <v>9</v>
      </c>
      <c r="C12" s="7" t="s">
        <v>18</v>
      </c>
      <c r="D12" s="19" t="s">
        <v>19</v>
      </c>
      <c r="G12" s="1"/>
    </row>
    <row r="13" spans="2:7" ht="31.5" customHeight="1" x14ac:dyDescent="0.25">
      <c r="B13" s="2">
        <f t="shared" si="0"/>
        <v>10</v>
      </c>
      <c r="C13" s="7" t="s">
        <v>20</v>
      </c>
      <c r="D13" s="1" t="s">
        <v>21</v>
      </c>
      <c r="G13" s="1"/>
    </row>
    <row r="14" spans="2:7" ht="31.5" customHeight="1" x14ac:dyDescent="0.25">
      <c r="B14" s="2">
        <f t="shared" si="0"/>
        <v>11</v>
      </c>
      <c r="C14" s="7" t="s">
        <v>95</v>
      </c>
      <c r="D14" s="1" t="s">
        <v>15</v>
      </c>
      <c r="G14" s="1"/>
    </row>
    <row r="15" spans="2:7" x14ac:dyDescent="0.25">
      <c r="B15" s="2">
        <v>12</v>
      </c>
      <c r="C15" s="7" t="s">
        <v>96</v>
      </c>
    </row>
    <row r="16" spans="2:7" x14ac:dyDescent="0.25">
      <c r="B16" s="2"/>
      <c r="C16" s="7"/>
    </row>
    <row r="21" spans="2:6" x14ac:dyDescent="0.25">
      <c r="B21" s="1" t="s">
        <v>22</v>
      </c>
      <c r="C21" t="s">
        <v>23</v>
      </c>
      <c r="D21" t="s">
        <v>24</v>
      </c>
      <c r="E21" t="s">
        <v>25</v>
      </c>
      <c r="F21" t="s">
        <v>26</v>
      </c>
    </row>
    <row r="22" spans="2:6" x14ac:dyDescent="0.25">
      <c r="B22" s="1">
        <v>1</v>
      </c>
      <c r="C22" t="s">
        <v>27</v>
      </c>
      <c r="D22" s="1" t="s">
        <v>28</v>
      </c>
    </row>
    <row r="23" spans="2:6" x14ac:dyDescent="0.25">
      <c r="B23" s="1">
        <f t="shared" ref="B23:B53" si="1">1+B22</f>
        <v>2</v>
      </c>
      <c r="C23" t="s">
        <v>29</v>
      </c>
      <c r="D23" s="1" t="s">
        <v>28</v>
      </c>
    </row>
    <row r="24" spans="2:6" ht="29.25" customHeight="1" x14ac:dyDescent="0.25">
      <c r="B24" s="1">
        <f t="shared" si="1"/>
        <v>3</v>
      </c>
      <c r="C24" s="13" t="s">
        <v>30</v>
      </c>
      <c r="D24" s="1" t="s">
        <v>28</v>
      </c>
    </row>
    <row r="25" spans="2:6" x14ac:dyDescent="0.25">
      <c r="B25" s="1">
        <f t="shared" si="1"/>
        <v>4</v>
      </c>
      <c r="C25" t="s">
        <v>100</v>
      </c>
      <c r="D25" s="1" t="s">
        <v>28</v>
      </c>
    </row>
    <row r="26" spans="2:6" x14ac:dyDescent="0.25">
      <c r="B26" s="1">
        <f t="shared" si="1"/>
        <v>5</v>
      </c>
      <c r="C26" t="s">
        <v>101</v>
      </c>
      <c r="D26" s="1" t="s">
        <v>28</v>
      </c>
    </row>
    <row r="27" spans="2:6" x14ac:dyDescent="0.25">
      <c r="B27" s="1">
        <f t="shared" si="1"/>
        <v>6</v>
      </c>
      <c r="C27" t="s">
        <v>31</v>
      </c>
      <c r="E27" s="1" t="s">
        <v>28</v>
      </c>
    </row>
    <row r="28" spans="2:6" x14ac:dyDescent="0.25">
      <c r="B28" s="1">
        <f t="shared" si="1"/>
        <v>7</v>
      </c>
      <c r="C28" t="s">
        <v>32</v>
      </c>
      <c r="E28" s="1" t="s">
        <v>28</v>
      </c>
    </row>
    <row r="29" spans="2:6" x14ac:dyDescent="0.25">
      <c r="B29" s="1">
        <f t="shared" si="1"/>
        <v>8</v>
      </c>
      <c r="C29" t="s">
        <v>33</v>
      </c>
      <c r="E29" s="1" t="s">
        <v>28</v>
      </c>
    </row>
    <row r="30" spans="2:6" x14ac:dyDescent="0.25">
      <c r="B30" s="1">
        <f t="shared" si="1"/>
        <v>9</v>
      </c>
      <c r="C30" t="s">
        <v>102</v>
      </c>
      <c r="E30" s="1" t="s">
        <v>28</v>
      </c>
    </row>
    <row r="31" spans="2:6" x14ac:dyDescent="0.25">
      <c r="B31" s="1">
        <f t="shared" si="1"/>
        <v>10</v>
      </c>
      <c r="C31" t="s">
        <v>103</v>
      </c>
      <c r="E31" s="1" t="s">
        <v>28</v>
      </c>
    </row>
    <row r="32" spans="2:6" x14ac:dyDescent="0.25">
      <c r="B32" s="1">
        <f t="shared" si="1"/>
        <v>11</v>
      </c>
      <c r="C32" t="s">
        <v>104</v>
      </c>
      <c r="E32" s="1" t="s">
        <v>28</v>
      </c>
    </row>
    <row r="33" spans="1:6" x14ac:dyDescent="0.25">
      <c r="B33" s="1">
        <f t="shared" si="1"/>
        <v>12</v>
      </c>
      <c r="C33" t="s">
        <v>105</v>
      </c>
      <c r="E33" s="1" t="s">
        <v>28</v>
      </c>
    </row>
    <row r="34" spans="1:6" ht="29.25" customHeight="1" x14ac:dyDescent="0.25">
      <c r="B34" s="1">
        <f t="shared" si="1"/>
        <v>13</v>
      </c>
      <c r="C34" s="13" t="s">
        <v>34</v>
      </c>
      <c r="E34" s="1" t="s">
        <v>28</v>
      </c>
    </row>
    <row r="35" spans="1:6" ht="30" customHeight="1" x14ac:dyDescent="0.25">
      <c r="A35" t="s">
        <v>35</v>
      </c>
      <c r="B35" s="1">
        <f t="shared" si="1"/>
        <v>14</v>
      </c>
      <c r="C35" s="13" t="s">
        <v>36</v>
      </c>
      <c r="E35" s="1" t="s">
        <v>28</v>
      </c>
    </row>
    <row r="36" spans="1:6" x14ac:dyDescent="0.25">
      <c r="B36" s="1">
        <f t="shared" si="1"/>
        <v>15</v>
      </c>
      <c r="C36" t="s">
        <v>37</v>
      </c>
      <c r="E36" s="1" t="s">
        <v>28</v>
      </c>
    </row>
    <row r="37" spans="1:6" x14ac:dyDescent="0.25">
      <c r="B37" s="1">
        <f t="shared" si="1"/>
        <v>16</v>
      </c>
      <c r="C37" t="s">
        <v>106</v>
      </c>
      <c r="E37" s="1" t="s">
        <v>28</v>
      </c>
    </row>
    <row r="38" spans="1:6" x14ac:dyDescent="0.25">
      <c r="B38" s="1">
        <f t="shared" si="1"/>
        <v>17</v>
      </c>
      <c r="C38" t="s">
        <v>38</v>
      </c>
      <c r="E38" s="1" t="s">
        <v>28</v>
      </c>
    </row>
    <row r="39" spans="1:6" x14ac:dyDescent="0.25">
      <c r="B39" s="1">
        <f t="shared" si="1"/>
        <v>18</v>
      </c>
      <c r="C39" t="s">
        <v>39</v>
      </c>
      <c r="E39" s="1" t="s">
        <v>28</v>
      </c>
      <c r="F39" s="1"/>
    </row>
    <row r="40" spans="1:6" x14ac:dyDescent="0.25">
      <c r="B40" s="1">
        <f t="shared" si="1"/>
        <v>19</v>
      </c>
      <c r="C40" t="s">
        <v>107</v>
      </c>
      <c r="E40" s="1" t="s">
        <v>28</v>
      </c>
      <c r="F40" s="1"/>
    </row>
    <row r="41" spans="1:6" x14ac:dyDescent="0.25">
      <c r="B41" s="1">
        <f t="shared" si="1"/>
        <v>20</v>
      </c>
      <c r="C41" t="s">
        <v>40</v>
      </c>
      <c r="F41" s="1" t="s">
        <v>28</v>
      </c>
    </row>
    <row r="42" spans="1:6" x14ac:dyDescent="0.25">
      <c r="B42" s="1">
        <f t="shared" si="1"/>
        <v>21</v>
      </c>
      <c r="C42" t="s">
        <v>108</v>
      </c>
      <c r="F42" s="1" t="s">
        <v>28</v>
      </c>
    </row>
    <row r="43" spans="1:6" x14ac:dyDescent="0.25">
      <c r="B43" s="1">
        <f t="shared" si="1"/>
        <v>22</v>
      </c>
      <c r="C43" t="s">
        <v>41</v>
      </c>
      <c r="F43" s="1" t="s">
        <v>28</v>
      </c>
    </row>
    <row r="44" spans="1:6" s="13" customFormat="1" ht="31.5" customHeight="1" x14ac:dyDescent="0.25">
      <c r="B44" s="19">
        <f t="shared" si="1"/>
        <v>23</v>
      </c>
      <c r="C44" s="13" t="s">
        <v>42</v>
      </c>
      <c r="D44" s="19"/>
      <c r="F44" s="19" t="s">
        <v>28</v>
      </c>
    </row>
    <row r="45" spans="1:6" ht="30" customHeight="1" x14ac:dyDescent="0.25">
      <c r="B45" s="1">
        <f t="shared" si="1"/>
        <v>24</v>
      </c>
      <c r="C45" t="s">
        <v>109</v>
      </c>
      <c r="F45" s="1" t="s">
        <v>28</v>
      </c>
    </row>
    <row r="46" spans="1:6" ht="30" customHeight="1" x14ac:dyDescent="0.25">
      <c r="B46" s="1">
        <f t="shared" si="1"/>
        <v>25</v>
      </c>
      <c r="C46" t="s">
        <v>110</v>
      </c>
      <c r="F46" s="1" t="s">
        <v>28</v>
      </c>
    </row>
    <row r="47" spans="1:6" x14ac:dyDescent="0.25">
      <c r="B47" s="1">
        <f t="shared" si="1"/>
        <v>26</v>
      </c>
      <c r="C47" t="s">
        <v>111</v>
      </c>
      <c r="F47" s="1" t="s">
        <v>28</v>
      </c>
    </row>
    <row r="48" spans="1:6" x14ac:dyDescent="0.25">
      <c r="B48" s="1">
        <f t="shared" si="1"/>
        <v>27</v>
      </c>
      <c r="C48" t="s">
        <v>43</v>
      </c>
      <c r="F48" s="1" t="s">
        <v>28</v>
      </c>
    </row>
    <row r="49" spans="1:6" x14ac:dyDescent="0.25">
      <c r="B49" s="1">
        <f t="shared" si="1"/>
        <v>28</v>
      </c>
      <c r="C49" t="s">
        <v>44</v>
      </c>
      <c r="F49" s="1" t="s">
        <v>28</v>
      </c>
    </row>
    <row r="50" spans="1:6" ht="31.5" customHeight="1" x14ac:dyDescent="0.25">
      <c r="B50" s="1">
        <f t="shared" si="1"/>
        <v>29</v>
      </c>
      <c r="C50" s="13" t="s">
        <v>45</v>
      </c>
      <c r="F50" s="1" t="s">
        <v>28</v>
      </c>
    </row>
    <row r="51" spans="1:6" ht="28.5" customHeight="1" x14ac:dyDescent="0.25">
      <c r="A51" t="s">
        <v>35</v>
      </c>
      <c r="B51" s="1">
        <f t="shared" si="1"/>
        <v>30</v>
      </c>
      <c r="C51" s="13" t="s">
        <v>36</v>
      </c>
      <c r="F51" s="1" t="s">
        <v>28</v>
      </c>
    </row>
    <row r="52" spans="1:6" x14ac:dyDescent="0.25">
      <c r="B52" s="1">
        <f t="shared" si="1"/>
        <v>31</v>
      </c>
      <c r="C52" t="s">
        <v>46</v>
      </c>
      <c r="F52" s="1" t="s">
        <v>28</v>
      </c>
    </row>
    <row r="53" spans="1:6" ht="45" x14ac:dyDescent="0.25">
      <c r="B53" s="1">
        <f t="shared" si="1"/>
        <v>32</v>
      </c>
      <c r="C53" s="13" t="s">
        <v>47</v>
      </c>
      <c r="F53" s="1" t="s">
        <v>28</v>
      </c>
    </row>
  </sheetData>
  <mergeCells count="1">
    <mergeCell ref="D4:D5"/>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
  <sheetViews>
    <sheetView workbookViewId="0"/>
  </sheetViews>
  <sheetFormatPr baseColWidth="10" defaultRowHeight="15"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Máquina de estados</vt:lpstr>
      <vt:lpstr>Tabla de calibración </vt:lpstr>
      <vt:lpstr>Tabla de diagnóstico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Mauro Daniel Reyna Lopez</dc:creator>
  <cp:lastModifiedBy>Mauro Daniel Reyna Lopez</cp:lastModifiedBy>
  <dcterms:created xsi:type="dcterms:W3CDTF">2026-09-25T14:34:50Z</dcterms:created>
  <dcterms:modified xsi:type="dcterms:W3CDTF">2026-09-29T15:40:49Z</dcterms:modified>
</cp:coreProperties>
</file>